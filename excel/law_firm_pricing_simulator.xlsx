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Law Firm Pricing Scenario Simulator\"/>
    </mc:Choice>
  </mc:AlternateContent>
  <bookViews>
    <workbookView xWindow="0" yWindow="0" windowWidth="23040" windowHeight="8496"/>
  </bookViews>
  <sheets>
    <sheet name="summary" sheetId="7" r:id="rId1"/>
    <sheet name="lawyers" sheetId="1" r:id="rId2"/>
    <sheet name="clients" sheetId="2" r:id="rId3"/>
    <sheet name="cases" sheetId="3" r:id="rId4"/>
    <sheet name="time_entries" sheetId="4" r:id="rId5"/>
    <sheet name="calculations" sheetId="5" r:id="rId6"/>
    <sheet name="scenarios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7" l="1"/>
  <c r="C3" i="7"/>
  <c r="B3" i="7"/>
  <c r="B2" i="7"/>
  <c r="Q3" i="5"/>
  <c r="Q4" i="5"/>
  <c r="Q5" i="5"/>
  <c r="Q6" i="5"/>
  <c r="Q2" i="5"/>
  <c r="N3" i="5"/>
  <c r="N4" i="5"/>
  <c r="N5" i="5"/>
  <c r="N6" i="5"/>
  <c r="N2" i="5"/>
  <c r="M3" i="5"/>
  <c r="M4" i="5"/>
  <c r="M5" i="5"/>
  <c r="M6" i="5"/>
  <c r="M2" i="5"/>
  <c r="J3" i="5"/>
  <c r="O3" i="5" s="1"/>
  <c r="P3" i="5" s="1"/>
  <c r="R3" i="5" s="1"/>
  <c r="J4" i="5"/>
  <c r="K4" i="5" s="1"/>
  <c r="L4" i="5" s="1"/>
  <c r="J5" i="5"/>
  <c r="K5" i="5" s="1"/>
  <c r="L5" i="5" s="1"/>
  <c r="J6" i="5"/>
  <c r="K6" i="5" s="1"/>
  <c r="L6" i="5" s="1"/>
  <c r="J2" i="5"/>
  <c r="K2" i="5" s="1"/>
  <c r="L2" i="5" s="1"/>
  <c r="I3" i="5"/>
  <c r="I4" i="5"/>
  <c r="I5" i="5"/>
  <c r="I6" i="5"/>
  <c r="I2" i="5"/>
  <c r="H2" i="5"/>
  <c r="H3" i="5"/>
  <c r="H4" i="5"/>
  <c r="H5" i="5"/>
  <c r="H6" i="5"/>
  <c r="G3" i="5"/>
  <c r="G4" i="5"/>
  <c r="G5" i="5"/>
  <c r="G6" i="5"/>
  <c r="G2" i="5"/>
  <c r="F3" i="5"/>
  <c r="F4" i="5"/>
  <c r="F5" i="5"/>
  <c r="F6" i="5"/>
  <c r="F2" i="5"/>
  <c r="E3" i="5"/>
  <c r="E4" i="5"/>
  <c r="E5" i="5"/>
  <c r="E6" i="5"/>
  <c r="E2" i="5"/>
  <c r="K3" i="5" l="1"/>
  <c r="L3" i="5" s="1"/>
  <c r="B4" i="7" s="1"/>
  <c r="O2" i="5"/>
  <c r="P2" i="5" s="1"/>
  <c r="O4" i="5"/>
  <c r="P4" i="5" s="1"/>
  <c r="R4" i="5" s="1"/>
  <c r="O6" i="5"/>
  <c r="P6" i="5" s="1"/>
  <c r="R6" i="5" s="1"/>
  <c r="O5" i="5"/>
  <c r="P5" i="5" s="1"/>
  <c r="R5" i="5" s="1"/>
  <c r="R2" i="5" l="1"/>
  <c r="C4" i="7" s="1"/>
  <c r="D4" i="7" s="1"/>
  <c r="C2" i="7"/>
  <c r="D2" i="7" s="1"/>
</calcChain>
</file>

<file path=xl/sharedStrings.xml><?xml version="1.0" encoding="utf-8"?>
<sst xmlns="http://schemas.openxmlformats.org/spreadsheetml/2006/main" count="99" uniqueCount="61">
  <si>
    <t>lawyer_id</t>
  </si>
  <si>
    <t>lawyer_level</t>
  </si>
  <si>
    <t>hourly_rate</t>
  </si>
  <si>
    <t>cost_per_hour</t>
  </si>
  <si>
    <t>L1</t>
  </si>
  <si>
    <t>Junior</t>
  </si>
  <si>
    <t>L2</t>
  </si>
  <si>
    <t>Senior</t>
  </si>
  <si>
    <t>L3</t>
  </si>
  <si>
    <t>Partner</t>
  </si>
  <si>
    <t>client_id</t>
  </si>
  <si>
    <t>client_type</t>
  </si>
  <si>
    <t>industry</t>
  </si>
  <si>
    <t>C1</t>
  </si>
  <si>
    <t>Startup</t>
  </si>
  <si>
    <t>Technology</t>
  </si>
  <si>
    <t>C2</t>
  </si>
  <si>
    <t>Enterprise</t>
  </si>
  <si>
    <t>Manufacturing</t>
  </si>
  <si>
    <t>C3</t>
  </si>
  <si>
    <t>SME</t>
  </si>
  <si>
    <t>Retail</t>
  </si>
  <si>
    <t>case_id</t>
  </si>
  <si>
    <t>case_type</t>
  </si>
  <si>
    <t>start_date</t>
  </si>
  <si>
    <t>CA1</t>
  </si>
  <si>
    <t>Contract Review</t>
  </si>
  <si>
    <t>CA2</t>
  </si>
  <si>
    <t>Litigation</t>
  </si>
  <si>
    <t>CA3</t>
  </si>
  <si>
    <t>Compliance</t>
  </si>
  <si>
    <t>time_entry_id</t>
  </si>
  <si>
    <t>hours</t>
  </si>
  <si>
    <t>T1</t>
  </si>
  <si>
    <t>T2</t>
  </si>
  <si>
    <t>T3</t>
  </si>
  <si>
    <t>T4</t>
  </si>
  <si>
    <t>T5</t>
  </si>
  <si>
    <t>revenue</t>
  </si>
  <si>
    <t>cost</t>
  </si>
  <si>
    <t>profit</t>
  </si>
  <si>
    <t>realization_rate</t>
  </si>
  <si>
    <t>collected_revenue</t>
  </si>
  <si>
    <t>final_profit</t>
  </si>
  <si>
    <t>Scenario Inputs</t>
  </si>
  <si>
    <t>Rate Increase %</t>
  </si>
  <si>
    <t>Cost Increase %</t>
  </si>
  <si>
    <t>Realization Change %</t>
  </si>
  <si>
    <t>scenario_hourly_rate</t>
  </si>
  <si>
    <t>scenario_cost_per_hour</t>
  </si>
  <si>
    <t>scenario_realization_rate</t>
  </si>
  <si>
    <t>scenario_revenue</t>
  </si>
  <si>
    <t>scenario_cost</t>
  </si>
  <si>
    <t>scenario_profit</t>
  </si>
  <si>
    <t>Metric</t>
  </si>
  <si>
    <t>Base</t>
  </si>
  <si>
    <t>Scenario</t>
  </si>
  <si>
    <t>Difference</t>
  </si>
  <si>
    <t>Total Revenue</t>
  </si>
  <si>
    <t>Total Cost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</si>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</sst>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H15" sqref="H15"/>
    </sheetView>
  </sheetViews>
  <sheetFormatPr defaultRowHeight="14.4" x14ac:dyDescent="0.3"/>
  <cols>
    <col min="1" max="1" width="12.6640625" bestFit="1" customWidth="1"/>
    <col min="2" max="2" width="7" bestFit="1" customWidth="1"/>
    <col min="3" max="3" width="10.109375" bestFit="1" customWidth="1"/>
    <col min="4" max="4" width="12.21875" bestFit="1" customWidth="1"/>
  </cols>
  <sheetData>
    <row r="1" spans="1:4" ht="18" x14ac:dyDescent="0.35">
      <c r="A1" s="3" t="s">
        <v>54</v>
      </c>
      <c r="B1" s="3" t="s">
        <v>55</v>
      </c>
      <c r="C1" s="3" t="s">
        <v>56</v>
      </c>
      <c r="D1" s="3" t="s">
        <v>57</v>
      </c>
    </row>
    <row r="2" spans="1:4" x14ac:dyDescent="0.3">
      <c r="A2" s="2" t="s">
        <v>58</v>
      </c>
      <c r="B2" s="2">
        <f>SUM(calculations!G:G)</f>
        <v>259000</v>
      </c>
      <c r="C2" s="2">
        <f>SUM(calculations!P:P)</f>
        <v>235260</v>
      </c>
      <c r="D2" s="2">
        <f xml:space="preserve"> C2 - B2</f>
        <v>-23740</v>
      </c>
    </row>
    <row r="3" spans="1:4" x14ac:dyDescent="0.3">
      <c r="A3" s="2" t="s">
        <v>59</v>
      </c>
      <c r="B3" s="2">
        <f>SUM(calculations!H:H)</f>
        <v>118900</v>
      </c>
      <c r="C3" s="2">
        <f>SUM(calculations!Q:Q)</f>
        <v>119620</v>
      </c>
      <c r="D3" s="2">
        <f xml:space="preserve"> C3 - B3</f>
        <v>720</v>
      </c>
    </row>
    <row r="4" spans="1:4" x14ac:dyDescent="0.3">
      <c r="A4" s="2" t="s">
        <v>60</v>
      </c>
      <c r="B4" s="2">
        <f>SUM(calculations!L:L)</f>
        <v>109900</v>
      </c>
      <c r="C4" s="2">
        <f>SUM(calculations!R:R)</f>
        <v>115640</v>
      </c>
      <c r="D4" s="2">
        <f xml:space="preserve"> C4 - B4</f>
        <v>5740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5" sqref="D15"/>
    </sheetView>
  </sheetViews>
  <sheetFormatPr defaultRowHeight="14.4" x14ac:dyDescent="0.3"/>
  <cols>
    <col min="1" max="1" width="11.44140625" bestFit="1" customWidth="1"/>
    <col min="2" max="2" width="14.77734375" bestFit="1" customWidth="1"/>
    <col min="3" max="3" width="13.44140625" bestFit="1" customWidth="1"/>
    <col min="4" max="4" width="16.33203125" bestFit="1" customWidth="1"/>
  </cols>
  <sheetData>
    <row r="1" spans="1:4" ht="18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 t="s">
        <v>4</v>
      </c>
      <c r="B2" s="4" t="s">
        <v>5</v>
      </c>
      <c r="C2" s="4">
        <v>2000</v>
      </c>
      <c r="D2" s="4">
        <v>1200</v>
      </c>
    </row>
    <row r="3" spans="1:4" x14ac:dyDescent="0.3">
      <c r="A3" s="4" t="s">
        <v>6</v>
      </c>
      <c r="B3" s="4" t="s">
        <v>7</v>
      </c>
      <c r="C3" s="4">
        <v>5000</v>
      </c>
      <c r="D3" s="4">
        <v>2500</v>
      </c>
    </row>
    <row r="4" spans="1:4" x14ac:dyDescent="0.3">
      <c r="A4" s="4" t="s">
        <v>8</v>
      </c>
      <c r="B4" s="4" t="s">
        <v>9</v>
      </c>
      <c r="C4" s="4">
        <v>10000</v>
      </c>
      <c r="D4" s="4">
        <v>4000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0" sqref="D10"/>
    </sheetView>
  </sheetViews>
  <sheetFormatPr defaultColWidth="18.6640625" defaultRowHeight="14.4" x14ac:dyDescent="0.3"/>
  <cols>
    <col min="1" max="1" width="10.21875" bestFit="1" customWidth="1"/>
    <col min="2" max="2" width="13.109375" bestFit="1" customWidth="1"/>
    <col min="3" max="3" width="12.88671875" bestFit="1" customWidth="1"/>
    <col min="4" max="4" width="18" bestFit="1" customWidth="1"/>
  </cols>
  <sheetData>
    <row r="1" spans="1:4" ht="18" x14ac:dyDescent="0.3">
      <c r="A1" s="5" t="s">
        <v>10</v>
      </c>
      <c r="B1" s="5" t="s">
        <v>11</v>
      </c>
      <c r="C1" s="5" t="s">
        <v>12</v>
      </c>
      <c r="D1" s="5" t="s">
        <v>41</v>
      </c>
    </row>
    <row r="2" spans="1:4" x14ac:dyDescent="0.3">
      <c r="A2" s="4" t="s">
        <v>13</v>
      </c>
      <c r="B2" s="4" t="s">
        <v>14</v>
      </c>
      <c r="C2" s="4" t="s">
        <v>15</v>
      </c>
      <c r="D2" s="2">
        <v>0.95</v>
      </c>
    </row>
    <row r="3" spans="1:4" x14ac:dyDescent="0.3">
      <c r="A3" s="4" t="s">
        <v>16</v>
      </c>
      <c r="B3" s="4" t="s">
        <v>17</v>
      </c>
      <c r="C3" s="4" t="s">
        <v>18</v>
      </c>
      <c r="D3" s="2">
        <v>0.85</v>
      </c>
    </row>
    <row r="4" spans="1:4" x14ac:dyDescent="0.3">
      <c r="A4" s="4" t="s">
        <v>19</v>
      </c>
      <c r="B4" s="4" t="s">
        <v>20</v>
      </c>
      <c r="C4" s="4" t="s">
        <v>21</v>
      </c>
      <c r="D4" s="2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3.5546875" defaultRowHeight="14.4" x14ac:dyDescent="0.3"/>
  <sheetData>
    <row r="1" spans="1:4" ht="18" x14ac:dyDescent="0.3">
      <c r="A1" s="5" t="s">
        <v>22</v>
      </c>
      <c r="B1" s="5" t="s">
        <v>10</v>
      </c>
      <c r="C1" s="5" t="s">
        <v>23</v>
      </c>
      <c r="D1" s="5" t="s">
        <v>24</v>
      </c>
    </row>
    <row r="2" spans="1:4" ht="28.8" x14ac:dyDescent="0.3">
      <c r="A2" s="4" t="s">
        <v>25</v>
      </c>
      <c r="B2" s="4" t="s">
        <v>13</v>
      </c>
      <c r="C2" s="4" t="s">
        <v>26</v>
      </c>
      <c r="D2" s="6">
        <v>46023</v>
      </c>
    </row>
    <row r="3" spans="1:4" x14ac:dyDescent="0.3">
      <c r="A3" s="4" t="s">
        <v>27</v>
      </c>
      <c r="B3" s="4" t="s">
        <v>16</v>
      </c>
      <c r="C3" s="4" t="s">
        <v>28</v>
      </c>
      <c r="D3" s="6">
        <v>46027</v>
      </c>
    </row>
    <row r="4" spans="1:4" x14ac:dyDescent="0.3">
      <c r="A4" s="4" t="s">
        <v>29</v>
      </c>
      <c r="B4" s="4" t="s">
        <v>19</v>
      </c>
      <c r="C4" s="4" t="s">
        <v>30</v>
      </c>
      <c r="D4" s="6">
        <v>46032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2" sqref="C12"/>
    </sheetView>
  </sheetViews>
  <sheetFormatPr defaultColWidth="19" defaultRowHeight="14.4" x14ac:dyDescent="0.3"/>
  <sheetData>
    <row r="1" spans="1:4" ht="18" x14ac:dyDescent="0.3">
      <c r="A1" s="5" t="s">
        <v>31</v>
      </c>
      <c r="B1" s="5" t="s">
        <v>22</v>
      </c>
      <c r="C1" s="5" t="s">
        <v>0</v>
      </c>
      <c r="D1" s="5" t="s">
        <v>32</v>
      </c>
    </row>
    <row r="2" spans="1:4" x14ac:dyDescent="0.3">
      <c r="A2" s="4" t="s">
        <v>33</v>
      </c>
      <c r="B2" s="4" t="s">
        <v>25</v>
      </c>
      <c r="C2" s="4" t="s">
        <v>4</v>
      </c>
      <c r="D2" s="4">
        <v>12</v>
      </c>
    </row>
    <row r="3" spans="1:4" x14ac:dyDescent="0.3">
      <c r="A3" s="4" t="s">
        <v>34</v>
      </c>
      <c r="B3" s="4" t="s">
        <v>25</v>
      </c>
      <c r="C3" s="4" t="s">
        <v>6</v>
      </c>
      <c r="D3" s="4">
        <v>8</v>
      </c>
    </row>
    <row r="4" spans="1:4" x14ac:dyDescent="0.3">
      <c r="A4" s="4" t="s">
        <v>35</v>
      </c>
      <c r="B4" s="4" t="s">
        <v>27</v>
      </c>
      <c r="C4" s="4" t="s">
        <v>8</v>
      </c>
      <c r="D4" s="4">
        <v>15</v>
      </c>
    </row>
    <row r="5" spans="1:4" x14ac:dyDescent="0.3">
      <c r="A5" s="4" t="s">
        <v>36</v>
      </c>
      <c r="B5" s="4" t="s">
        <v>29</v>
      </c>
      <c r="C5" s="4" t="s">
        <v>4</v>
      </c>
      <c r="D5" s="4">
        <v>10</v>
      </c>
    </row>
    <row r="6" spans="1:4" x14ac:dyDescent="0.3">
      <c r="A6" s="4" t="s">
        <v>37</v>
      </c>
      <c r="B6" s="4" t="s">
        <v>29</v>
      </c>
      <c r="C6" s="4" t="s">
        <v>6</v>
      </c>
      <c r="D6" s="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selection activeCell="E22" sqref="E22"/>
    </sheetView>
  </sheetViews>
  <sheetFormatPr defaultRowHeight="14.4" x14ac:dyDescent="0.3"/>
  <cols>
    <col min="1" max="1" width="16.21875" style="1" bestFit="1" customWidth="1"/>
    <col min="2" max="2" width="8.88671875" style="1" bestFit="1" customWidth="1"/>
    <col min="3" max="3" width="11.44140625" style="1" bestFit="1" customWidth="1"/>
    <col min="4" max="4" width="6.88671875" style="1" bestFit="1" customWidth="1"/>
    <col min="5" max="5" width="13.44140625" style="1" bestFit="1" customWidth="1"/>
    <col min="6" max="6" width="16.33203125" style="1" bestFit="1" customWidth="1"/>
    <col min="7" max="7" width="9.77734375" style="1" bestFit="1" customWidth="1"/>
    <col min="8" max="8" width="6" style="1" bestFit="1" customWidth="1"/>
    <col min="9" max="9" width="6.88671875" style="1" bestFit="1" customWidth="1"/>
    <col min="10" max="10" width="18" style="1" bestFit="1" customWidth="1"/>
    <col min="11" max="11" width="21" style="1" bestFit="1" customWidth="1"/>
    <col min="12" max="12" width="12.77734375" style="1" bestFit="1" customWidth="1"/>
    <col min="13" max="13" width="23.77734375" style="1" bestFit="1" customWidth="1"/>
    <col min="14" max="14" width="26.77734375" style="1" bestFit="1" customWidth="1"/>
    <col min="15" max="15" width="28.33203125" style="1" bestFit="1" customWidth="1"/>
    <col min="16" max="16" width="20.109375" style="1" bestFit="1" customWidth="1"/>
    <col min="17" max="17" width="15.5546875" style="1" bestFit="1" customWidth="1"/>
    <col min="18" max="18" width="17.21875" style="1" bestFit="1" customWidth="1"/>
    <col min="19" max="16384" width="8.88671875" style="1"/>
  </cols>
  <sheetData>
    <row r="1" spans="1:18" ht="18" x14ac:dyDescent="0.35">
      <c r="A1" s="3" t="s">
        <v>31</v>
      </c>
      <c r="B1" s="3" t="s">
        <v>22</v>
      </c>
      <c r="C1" s="3" t="s">
        <v>0</v>
      </c>
      <c r="D1" s="3" t="s">
        <v>32</v>
      </c>
      <c r="E1" s="3" t="s">
        <v>2</v>
      </c>
      <c r="F1" s="3" t="s">
        <v>3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</row>
    <row r="2" spans="1:18" x14ac:dyDescent="0.3">
      <c r="A2" s="7" t="s">
        <v>33</v>
      </c>
      <c r="B2" s="7" t="s">
        <v>25</v>
      </c>
      <c r="C2" s="7" t="s">
        <v>4</v>
      </c>
      <c r="D2" s="7">
        <v>12</v>
      </c>
      <c r="E2" s="8">
        <f>VLOOKUP(C2, lawyers!A:D, 3, FALSE)</f>
        <v>2000</v>
      </c>
      <c r="F2" s="8">
        <f>VLOOKUP(C2, lawyers!A:D, 4, FALSE)</f>
        <v>1200</v>
      </c>
      <c r="G2" s="8">
        <f xml:space="preserve"> D2 * E2</f>
        <v>24000</v>
      </c>
      <c r="H2" s="8">
        <f xml:space="preserve"> D2 * F2</f>
        <v>14400</v>
      </c>
      <c r="I2" s="8">
        <f xml:space="preserve"> G2 - H2</f>
        <v>9600</v>
      </c>
      <c r="J2" s="8">
        <f>VLOOKUP(
   VLOOKUP(B2, cases!A:B, 2, FALSE),
   clients!A:D,
   4,
   FALSE
)</f>
        <v>0.95</v>
      </c>
      <c r="K2" s="8">
        <f xml:space="preserve"> G2 * J2</f>
        <v>22800</v>
      </c>
      <c r="L2" s="8">
        <f xml:space="preserve"> K2 - H2</f>
        <v>8400</v>
      </c>
      <c r="M2" s="8">
        <f xml:space="preserve"> E2 * (1 + scenarios!B3 / 100)</f>
        <v>2400</v>
      </c>
      <c r="N2" s="8">
        <f xml:space="preserve"> F2 * (1 + scenarios!B4 / 100)</f>
        <v>1260</v>
      </c>
      <c r="O2" s="8">
        <f xml:space="preserve"> J2 * (1 + scenarios!B5 / 100)</f>
        <v>0.95</v>
      </c>
      <c r="P2" s="8">
        <f xml:space="preserve"> D2 * M2 * O2</f>
        <v>27360</v>
      </c>
      <c r="Q2" s="8">
        <f xml:space="preserve"> D2 * N2</f>
        <v>15120</v>
      </c>
      <c r="R2" s="8">
        <f xml:space="preserve"> P2 - Q2</f>
        <v>12240</v>
      </c>
    </row>
    <row r="3" spans="1:18" x14ac:dyDescent="0.3">
      <c r="A3" s="7" t="s">
        <v>34</v>
      </c>
      <c r="B3" s="7" t="s">
        <v>25</v>
      </c>
      <c r="C3" s="7" t="s">
        <v>6</v>
      </c>
      <c r="D3" s="7">
        <v>8</v>
      </c>
      <c r="E3" s="8">
        <f>VLOOKUP(C3, lawyers!A:D, 3, FALSE)</f>
        <v>5000</v>
      </c>
      <c r="F3" s="8">
        <f>VLOOKUP(C3, lawyers!A:D, 4, FALSE)</f>
        <v>2500</v>
      </c>
      <c r="G3" s="8">
        <f t="shared" ref="G3:G6" si="0" xml:space="preserve"> D3 * E3</f>
        <v>40000</v>
      </c>
      <c r="H3" s="8">
        <f t="shared" ref="H3:H6" si="1" xml:space="preserve"> D3 * F3</f>
        <v>20000</v>
      </c>
      <c r="I3" s="8">
        <f t="shared" ref="I3:I6" si="2" xml:space="preserve"> G3 - H3</f>
        <v>20000</v>
      </c>
      <c r="J3" s="8">
        <f>VLOOKUP(
   VLOOKUP(B3, cases!A:B, 2, FALSE),
   clients!A:D,
   4,
   FALSE
)</f>
        <v>0.95</v>
      </c>
      <c r="K3" s="8">
        <f t="shared" ref="K3:K6" si="3" xml:space="preserve"> G3 * J3</f>
        <v>38000</v>
      </c>
      <c r="L3" s="8">
        <f t="shared" ref="L3:L6" si="4" xml:space="preserve"> K3 - H3</f>
        <v>18000</v>
      </c>
      <c r="M3" s="8">
        <f xml:space="preserve"> E3 * (1 + scenarios!B4 / 100)</f>
        <v>5250</v>
      </c>
      <c r="N3" s="8">
        <f xml:space="preserve"> F3 * (1 + scenarios!B5 / 100)</f>
        <v>2500</v>
      </c>
      <c r="O3" s="8">
        <f xml:space="preserve"> J3 * (1 + scenarios!B6 / 100)</f>
        <v>0.95</v>
      </c>
      <c r="P3" s="8">
        <f t="shared" ref="P3:P6" si="5" xml:space="preserve"> D3 * M3 * O3</f>
        <v>39900</v>
      </c>
      <c r="Q3" s="8">
        <f t="shared" ref="Q3:Q6" si="6" xml:space="preserve"> D3 * N3</f>
        <v>20000</v>
      </c>
      <c r="R3" s="8">
        <f t="shared" ref="R3:R6" si="7" xml:space="preserve"> P3 - Q3</f>
        <v>19900</v>
      </c>
    </row>
    <row r="4" spans="1:18" x14ac:dyDescent="0.3">
      <c r="A4" s="7" t="s">
        <v>35</v>
      </c>
      <c r="B4" s="7" t="s">
        <v>27</v>
      </c>
      <c r="C4" s="7" t="s">
        <v>8</v>
      </c>
      <c r="D4" s="7">
        <v>15</v>
      </c>
      <c r="E4" s="8">
        <f>VLOOKUP(C4, lawyers!A:D, 3, FALSE)</f>
        <v>10000</v>
      </c>
      <c r="F4" s="8">
        <f>VLOOKUP(C4, lawyers!A:D, 4, FALSE)</f>
        <v>4000</v>
      </c>
      <c r="G4" s="8">
        <f t="shared" si="0"/>
        <v>150000</v>
      </c>
      <c r="H4" s="8">
        <f t="shared" si="1"/>
        <v>60000</v>
      </c>
      <c r="I4" s="8">
        <f t="shared" si="2"/>
        <v>90000</v>
      </c>
      <c r="J4" s="8">
        <f>VLOOKUP(
   VLOOKUP(B4, cases!A:B, 2, FALSE),
   clients!A:D,
   4,
   FALSE
)</f>
        <v>0.85</v>
      </c>
      <c r="K4" s="8">
        <f t="shared" si="3"/>
        <v>127500</v>
      </c>
      <c r="L4" s="8">
        <f t="shared" si="4"/>
        <v>67500</v>
      </c>
      <c r="M4" s="8">
        <f xml:space="preserve"> E4 * (1 + scenarios!B5 / 100)</f>
        <v>10000</v>
      </c>
      <c r="N4" s="8">
        <f xml:space="preserve"> F4 * (1 + scenarios!B6 / 100)</f>
        <v>4000</v>
      </c>
      <c r="O4" s="8">
        <f xml:space="preserve"> J4 * (1 + scenarios!B7 / 100)</f>
        <v>0.85</v>
      </c>
      <c r="P4" s="8">
        <f t="shared" si="5"/>
        <v>127500</v>
      </c>
      <c r="Q4" s="8">
        <f t="shared" si="6"/>
        <v>60000</v>
      </c>
      <c r="R4" s="8">
        <f t="shared" si="7"/>
        <v>67500</v>
      </c>
    </row>
    <row r="5" spans="1:18" x14ac:dyDescent="0.3">
      <c r="A5" s="7" t="s">
        <v>36</v>
      </c>
      <c r="B5" s="7" t="s">
        <v>29</v>
      </c>
      <c r="C5" s="7" t="s">
        <v>4</v>
      </c>
      <c r="D5" s="7">
        <v>10</v>
      </c>
      <c r="E5" s="8">
        <f>VLOOKUP(C5, lawyers!A:D, 3, FALSE)</f>
        <v>2000</v>
      </c>
      <c r="F5" s="8">
        <f>VLOOKUP(C5, lawyers!A:D, 4, FALSE)</f>
        <v>1200</v>
      </c>
      <c r="G5" s="8">
        <f t="shared" si="0"/>
        <v>20000</v>
      </c>
      <c r="H5" s="8">
        <f t="shared" si="1"/>
        <v>12000</v>
      </c>
      <c r="I5" s="8">
        <f t="shared" si="2"/>
        <v>8000</v>
      </c>
      <c r="J5" s="8">
        <f>VLOOKUP(
   VLOOKUP(B5, cases!A:B, 2, FALSE),
   clients!A:D,
   4,
   FALSE
)</f>
        <v>0.9</v>
      </c>
      <c r="K5" s="8">
        <f t="shared" si="3"/>
        <v>18000</v>
      </c>
      <c r="L5" s="8">
        <f t="shared" si="4"/>
        <v>6000</v>
      </c>
      <c r="M5" s="8">
        <f xml:space="preserve"> E5 * (1 + scenarios!B6 / 100)</f>
        <v>2000</v>
      </c>
      <c r="N5" s="8">
        <f xml:space="preserve"> F5 * (1 + scenarios!B7 / 100)</f>
        <v>1200</v>
      </c>
      <c r="O5" s="8">
        <f xml:space="preserve"> J5 * (1 + scenarios!B8 / 100)</f>
        <v>0.9</v>
      </c>
      <c r="P5" s="8">
        <f t="shared" si="5"/>
        <v>18000</v>
      </c>
      <c r="Q5" s="8">
        <f t="shared" si="6"/>
        <v>12000</v>
      </c>
      <c r="R5" s="8">
        <f t="shared" si="7"/>
        <v>6000</v>
      </c>
    </row>
    <row r="6" spans="1:18" x14ac:dyDescent="0.3">
      <c r="A6" s="7" t="s">
        <v>37</v>
      </c>
      <c r="B6" s="7" t="s">
        <v>29</v>
      </c>
      <c r="C6" s="7" t="s">
        <v>6</v>
      </c>
      <c r="D6" s="7">
        <v>5</v>
      </c>
      <c r="E6" s="8">
        <f>VLOOKUP(C6, lawyers!A:D, 3, FALSE)</f>
        <v>5000</v>
      </c>
      <c r="F6" s="8">
        <f>VLOOKUP(C6, lawyers!A:D, 4, FALSE)</f>
        <v>2500</v>
      </c>
      <c r="G6" s="8">
        <f t="shared" si="0"/>
        <v>25000</v>
      </c>
      <c r="H6" s="8">
        <f t="shared" si="1"/>
        <v>12500</v>
      </c>
      <c r="I6" s="8">
        <f t="shared" si="2"/>
        <v>12500</v>
      </c>
      <c r="J6" s="8">
        <f>VLOOKUP(
   VLOOKUP(B6, cases!A:B, 2, FALSE),
   clients!A:D,
   4,
   FALSE
)</f>
        <v>0.9</v>
      </c>
      <c r="K6" s="8">
        <f t="shared" si="3"/>
        <v>22500</v>
      </c>
      <c r="L6" s="8">
        <f t="shared" si="4"/>
        <v>10000</v>
      </c>
      <c r="M6" s="8">
        <f xml:space="preserve"> E6 * (1 + scenarios!B7 / 100)</f>
        <v>5000</v>
      </c>
      <c r="N6" s="8">
        <f xml:space="preserve"> F6 * (1 + scenarios!B8 / 100)</f>
        <v>2500</v>
      </c>
      <c r="O6" s="8">
        <f xml:space="preserve"> J6 * (1 + scenarios!B9 / 100)</f>
        <v>0.9</v>
      </c>
      <c r="P6" s="8">
        <f t="shared" si="5"/>
        <v>22500</v>
      </c>
      <c r="Q6" s="8">
        <f t="shared" si="6"/>
        <v>12500</v>
      </c>
      <c r="R6" s="8">
        <f t="shared" si="7"/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3" sqref="B13"/>
    </sheetView>
  </sheetViews>
  <sheetFormatPr defaultRowHeight="14.4" x14ac:dyDescent="0.3"/>
  <cols>
    <col min="1" max="1" width="18.5546875" bestFit="1" customWidth="1"/>
  </cols>
  <sheetData>
    <row r="1" spans="1:2" ht="18" x14ac:dyDescent="0.35">
      <c r="A1" s="3" t="s">
        <v>44</v>
      </c>
      <c r="B1" s="2"/>
    </row>
    <row r="2" spans="1:2" x14ac:dyDescent="0.3">
      <c r="A2" s="2"/>
      <c r="B2" s="2"/>
    </row>
    <row r="3" spans="1:2" x14ac:dyDescent="0.3">
      <c r="A3" s="2" t="s">
        <v>45</v>
      </c>
      <c r="B3" s="2">
        <v>20</v>
      </c>
    </row>
    <row r="4" spans="1:2" x14ac:dyDescent="0.3">
      <c r="A4" s="2" t="s">
        <v>46</v>
      </c>
      <c r="B4" s="2">
        <v>5</v>
      </c>
    </row>
    <row r="5" spans="1:2" x14ac:dyDescent="0.3">
      <c r="A5" s="2" t="s">
        <v>47</v>
      </c>
      <c r="B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lawyers</vt:lpstr>
      <vt:lpstr>clients</vt:lpstr>
      <vt:lpstr>cases</vt:lpstr>
      <vt:lpstr>time_entries</vt:lpstr>
      <vt:lpstr>calculations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2026-02-18T11:19:54Z</dcterms:created>
  <dcterms:modified xsi:type="dcterms:W3CDTF">2026-02-18T16:35:01Z</dcterms:modified>
</cp:coreProperties>
</file>